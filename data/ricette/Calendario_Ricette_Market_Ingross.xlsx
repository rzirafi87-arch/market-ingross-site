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bdd5992e6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db1554570254342"/>
    <x:sheet xmlns:r="http://schemas.openxmlformats.org/officeDocument/2006/relationships" name="Calendario_Mensile" sheetId="2" r:id="R55a02e5bdca7455c"/>
    <x:sheet xmlns:r="http://schemas.openxmlformats.org/officeDocument/2006/relationships" name="Dashboard" sheetId="3" r:id="R497967ee96ef469f"/>
    <x:sheet xmlns:r="http://schemas.openxmlformats.org/officeDocument/2006/relationships" name="Ricette_Gia_Create" sheetId="4" r:id="R2ef5fb59e4ae4c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274E13"/>
      <x:name val="Carlito"/>
    </x:font>
    <x:font>
      <x:b/>
      <x:sz val="11"/>
      <x:color rgb="7F3F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274E13"/>
      </x:patternFill>
    </x:fill>
    <x:fill>
      <x:patternFill patternType="solid">
        <x:fgColor rgb="F7E7B5"/>
      </x:patternFill>
    </x:fill>
    <x:fill>
      <x:patternFill patternType="solid">
        <x:fgColor rgb="FCE5CD"/>
      </x:patternFill>
    </x:fill>
    <x:fill>
      <x:patternFill patternType="solid">
        <x:fgColor rgb="274E13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274E13"/>
      </x:font>
      <x:fill>
        <x:patternFill>
          <x:bgColor rgb="D9EAD3"/>
        </x:patternFill>
      </x:fill>
    </x:dxf>
    <x:dxf>
      <x:fill>
        <x:patternFill>
          <x:bgColor rgb="FFF2CC"/>
        </x:patternFill>
      </x:fill>
    </x:dxf>
    <x:dxf>
      <x:fill>
        <x:patternFill>
          <x:bgColor rgb="D9EAF7"/>
        </x:patternFill>
      </x:fill>
    </x:dxf>
    <x:dxf>
      <x:font>
        <x:b/>
      </x:font>
      <x:fill>
        <x:patternFill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d3ba112a846ea" /><Relationship Type="http://schemas.openxmlformats.org/officeDocument/2006/relationships/theme" Target="/xl/theme/theme1.xml" Id="Rb9e73b60339e421b" /><Relationship Type="http://schemas.openxmlformats.org/officeDocument/2006/relationships/sharedStrings" Target="/xl/sharedStrings.xml" Id="R935acd5cbc6f4684" /><Relationship Type="http://schemas.openxmlformats.org/officeDocument/2006/relationships/worksheet" Target="/xl/worksheets/sheet1.xml" Id="Rfdb1554570254342" /><Relationship Type="http://schemas.openxmlformats.org/officeDocument/2006/relationships/worksheet" Target="/xl/worksheets/sheet2.xml" Id="R55a02e5bdca7455c" /><Relationship Type="http://schemas.openxmlformats.org/officeDocument/2006/relationships/worksheet" Target="/xl/worksheets/sheet3.xml" Id="R497967ee96ef469f" /><Relationship Type="http://schemas.openxmlformats.org/officeDocument/2006/relationships/worksheet" Target="/xl/worksheets/sheet4.xml" Id="R2ef5fb59e4ae4c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3b8888b16e4f6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Nuove 24</c:v>
          </c:tx>
          <c:cat>
            <c:strRef>
              <c:f>'Dashboard'!$D$2:$D$13</c:f>
              <c:strCache>
                <c:ptCount val="0"/>
              </c:strCache>
            </c:strRef>
          </c:cat>
          <c:val>
            <c:numRef>
              <c:f>'Dashboard'!$E$2:$E$13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Alternative</c:v>
          </c:tx>
          <c:cat>
            <c:strRef>
              <c:f>'Dashboard'!$D$2:$D$13</c:f>
              <c:strCache>
                <c:ptCount val="0"/>
              </c:strCache>
            </c:strRef>
          </c:cat>
          <c:val>
            <c:numRef>
              <c:f>'Dashboard'!$F$2:$F$13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3b8888b16e4f6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lendarioRicette" displayName="CalendarioRicette" ref="A1:I43" headerRowCount="1">
  <x:tableColumns count="9">
    <x:tableColumn id="1" name="Mese"/>
    <x:tableColumn id="2" name="Ordine"/>
    <x:tableColumn id="3" name="Ricetta"/>
    <x:tableColumn id="4" name="Tipo"/>
    <x:tableColumn id="5" name="Stato"/>
    <x:tableColumn id="6" name="Prodotti da spingere"/>
    <x:tableColumn id="7" name="Priorità"/>
    <x:tableColumn id="8" name="Output da creare"/>
    <x:tableColumn id="9" name="Note"/>
  </x:tableColumns>
  <x:tableStyleInfo name="TableStyleMedium2" showRowStripes="1"/>
</x:table>
</file>

<file path=xl/tables/table2.xml><?xml version="1.0" encoding="utf-8"?>
<x:table xmlns:x="http://schemas.openxmlformats.org/spreadsheetml/2006/main" id="3" name="RiepilogoMensile" displayName="RiepilogoMensile" ref="D1:G13" headerRowCount="1">
  <x:tableColumns count="4">
    <x:tableColumn id="1" name="Mese"/>
    <x:tableColumn id="2" name="Nuove 24"/>
    <x:tableColumn id="3" name="Alternative"/>
    <x:tableColumn id="4" name="Totale mese"/>
  </x:tableColumns>
  <x:tableStyleInfo name="TableStyleMedium2" showRowStripes="1"/>
</x:table>
</file>

<file path=xl/tables/table3.xml><?xml version="1.0" encoding="utf-8"?>
<x:table xmlns:x="http://schemas.openxmlformats.org/spreadsheetml/2006/main" id="2" name="RicetteCreate" displayName="RicetteCreate" ref="A1:E9" headerRowCount="1">
  <x:tableColumns count="5">
    <x:tableColumn id="1" name="Comune"/>
    <x:tableColumn id="2" name="Ricetta"/>
    <x:tableColumn id="3" name="Stato"/>
    <x:tableColumn id="4" name="Output completati"/>
    <x:tableColumn id="5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f461cf908e4c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8659bc8042c40be" /><Relationship Type="http://schemas.openxmlformats.org/officeDocument/2006/relationships/table" Target="/xl/tables/table2.xml" Id="R8d74ea04c07a4b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536c692b5b487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8" t="str">
        <x:v>Calendario Ricette Market Ingross - Sapori di Casa</x:v>
      </x:c>
      <x:c r="B1" s="18"/>
      <x:c r="C1" s="18"/>
      <x:c r="D1" s="18"/>
      <x:c r="E1" s="18"/>
      <x:c r="F1" s="18"/>
      <x:c r="G1" s="18"/>
      <x:c r="H1" s="18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20" t="str">
        <x:v>Obiettivo</x:v>
      </x:c>
      <x:c r="B3" s="19" t="str">
        <x:v>Gestire le ricette già create, le 24 nuove ricette stagionali e le 18 alternative senza doppioni.</x:v>
      </x:c>
      <x:c r="C3" s="19"/>
      <x:c r="D3" s="19"/>
      <x:c r="E3" s="19"/>
      <x:c r="F3" s="19"/>
      <x:c r="G3" s="19"/>
      <x:c r="H3" s="19"/>
    </x:row>
    <x:row r="4">
      <x:c r="A4" s="20"/>
      <x:c r="B4" s="19"/>
      <x:c r="C4" s="19"/>
      <x:c r="D4" s="19"/>
      <x:c r="E4" s="19"/>
      <x:c r="F4" s="19"/>
      <x:c r="G4" s="19"/>
      <x:c r="H4" s="19"/>
    </x:row>
    <x:row r="5">
      <x:c r="A5" s="20" t="str">
        <x:v>Metodo operativo per ogni ricetta</x:v>
      </x:c>
      <x:c r="B5" s="19"/>
      <x:c r="C5" s="19"/>
      <x:c r="D5" s="19"/>
      <x:c r="E5" s="19"/>
      <x:c r="F5" s="19"/>
      <x:c r="G5" s="19"/>
      <x:c r="H5" s="19"/>
    </x:row>
    <x:row r="6">
      <x:c r="A6" s="20" t="str">
        <x:v>1. Testo giornalistico da articolo</x:v>
      </x:c>
      <x:c r="B6" s="19"/>
      <x:c r="C6" s="19"/>
      <x:c r="D6" s="19"/>
      <x:c r="E6" s="19"/>
      <x:c r="F6" s="19"/>
      <x:c r="G6" s="19"/>
      <x:c r="H6" s="19"/>
    </x:row>
    <x:row r="7">
      <x:c r="A7" s="20" t="str">
        <x:v>2. Immagine illustrativa del piatto</x:v>
      </x:c>
      <x:c r="B7" s="19"/>
      <x:c r="C7" s="19"/>
      <x:c r="D7" s="19"/>
      <x:c r="E7" s="19"/>
      <x:c r="F7" s="19"/>
      <x:c r="G7" s="19"/>
      <x:c r="H7" s="19"/>
    </x:row>
    <x:row r="8">
      <x:c r="A8" s="20" t="str">
        <x:v>3. Card per introdurre l’articolo</x:v>
      </x:c>
      <x:c r="B8" s="19"/>
      <x:c r="C8" s="19"/>
      <x:c r="D8" s="19"/>
      <x:c r="E8" s="19"/>
      <x:c r="F8" s="19"/>
      <x:c r="G8" s="19"/>
      <x:c r="H8" s="19"/>
    </x:row>
    <x:row r="9">
      <x:c r="A9" s="20" t="str">
        <x:v>4. Prompt AI per creare slide/reel</x:v>
      </x:c>
      <x:c r="B9" s="19"/>
      <x:c r="C9" s="19"/>
      <x:c r="D9" s="19"/>
      <x:c r="E9" s="19"/>
      <x:c r="F9" s="19"/>
      <x:c r="G9" s="19"/>
      <x:c r="H9" s="19"/>
    </x:row>
    <x:row r="10">
      <x:c r="A10" s="20"/>
      <x:c r="B10" s="19"/>
      <x:c r="C10" s="19"/>
      <x:c r="D10" s="19"/>
      <x:c r="E10" s="19"/>
      <x:c r="F10" s="19"/>
      <x:c r="G10" s="19"/>
      <x:c r="H10" s="19"/>
    </x:row>
    <x:row r="11">
      <x:c r="A11" s="20" t="str">
        <x:v>Fogli presenti</x:v>
      </x:c>
      <x:c r="B11" s="19"/>
      <x:c r="C11" s="19"/>
      <x:c r="D11" s="19"/>
      <x:c r="E11" s="19"/>
      <x:c r="F11" s="19"/>
      <x:c r="G11" s="19"/>
      <x:c r="H11" s="19"/>
    </x:row>
    <x:row r="12">
      <x:c r="A12" s="20" t="str">
        <x:v>Dashboard</x:v>
      </x:c>
      <x:c r="B12" s="19" t="str">
        <x:v>Riepilogo automatico e conteggi</x:v>
      </x:c>
      <x:c r="C12" s="19"/>
      <x:c r="D12" s="19"/>
      <x:c r="E12" s="19"/>
      <x:c r="F12" s="19"/>
      <x:c r="G12" s="19"/>
      <x:c r="H12" s="19"/>
    </x:row>
    <x:row r="13">
      <x:c r="A13" s="20" t="str">
        <x:v>Calendario_Mensile</x:v>
      </x:c>
      <x:c r="B13" s="19" t="str">
        <x:v>Lista operativa mensile, editabile</x:v>
      </x:c>
      <x:c r="C13" s="19"/>
      <x:c r="D13" s="19"/>
      <x:c r="E13" s="19"/>
      <x:c r="F13" s="19"/>
      <x:c r="G13" s="19"/>
      <x:c r="H13" s="19"/>
    </x:row>
    <x:row r="14">
      <x:c r="A14" s="20" t="str">
        <x:v>Ricette_Gia_Create</x:v>
      </x:c>
      <x:c r="B14" s="19" t="str">
        <x:v>Le 8 ricette già presenti sul sito</x:v>
      </x:c>
      <x:c r="C14" s="19"/>
      <x:c r="D14" s="19"/>
      <x:c r="E14" s="19"/>
      <x:c r="F14" s="19"/>
      <x:c r="G14" s="19"/>
      <x:c r="H14" s="19"/>
    </x:row>
    <x:row r="15">
      <x:c r="A15" s="20" t="str">
        <x:v>README</x:v>
      </x:c>
      <x:c r="B15" s="19" t="str">
        <x:v>Istruzioni rapide</x:v>
      </x:c>
      <x:c r="C15" s="19"/>
      <x:c r="D15" s="19"/>
      <x:c r="E15" s="19"/>
      <x:c r="F15" s="19"/>
      <x:c r="G15" s="19"/>
      <x:c r="H15" s="19"/>
    </x:row>
    <x:row r="16">
      <x:c r="A16" s="20"/>
      <x:c r="B16" s="19"/>
      <x:c r="C16" s="19"/>
      <x:c r="D16" s="19"/>
      <x:c r="E16" s="19"/>
      <x:c r="F16" s="19"/>
      <x:c r="G16" s="19"/>
      <x:c r="H16" s="19"/>
    </x:row>
    <x:row r="17">
      <x:c r="A17" s="20" t="str">
        <x:v>Nota</x:v>
      </x:c>
      <x:c r="B17" s="19" t="str">
        <x:v>Aggiornare lo Stato man mano che si creano articolo, immagine, card e prompt reel.</x:v>
      </x:c>
      <x:c r="C17" s="19"/>
      <x:c r="D17" s="19"/>
      <x:c r="E17" s="19"/>
      <x:c r="F17" s="19"/>
      <x:c r="G17" s="19"/>
      <x:c r="H17" s="19"/>
    </x:row>
  </x:sheetData>
  <x:mergeCells>
    <x:mergeCell ref="A1:H1"/>
    <x:mergeCell ref="B3:H3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36" hidden="0" customWidth="1"/>
    <x:col min="4" max="4" width="15" hidden="0" customWidth="1"/>
    <x:col min="5" max="5" width="16" hidden="0" customWidth="1"/>
    <x:col min="6" max="6" width="46" hidden="0" customWidth="1"/>
    <x:col min="7" max="7" width="12" hidden="0" customWidth="1"/>
    <x:col min="8" max="8" width="34" hidden="0" customWidth="1"/>
    <x:col min="9" max="9" width="40" hidden="0" customWidth="1"/>
  </x:cols>
  <x:sheetData>
    <x:row r="1">
      <x:c r="A1" s="26" t="str">
        <x:v>Mese</x:v>
      </x:c>
      <x:c r="B1" s="26" t="str">
        <x:v>Ordine</x:v>
      </x:c>
      <x:c r="C1" s="26" t="str">
        <x:v>Ricetta</x:v>
      </x:c>
      <x:c r="D1" s="26" t="str">
        <x:v>Tipo</x:v>
      </x:c>
      <x:c r="E1" s="26" t="str">
        <x:v>Stato</x:v>
      </x:c>
      <x:c r="F1" s="26" t="str">
        <x:v>Prodotti da spingere</x:v>
      </x:c>
      <x:c r="G1" s="26" t="str">
        <x:v>Priorità</x:v>
      </x:c>
      <x:c r="H1" s="26" t="str">
        <x:v>Output da creare</x:v>
      </x:c>
      <x:c r="I1" s="26" t="str">
        <x:v>Note</x:v>
      </x:c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27" t="str">
        <x:v>Gennaio</x:v>
      </x:c>
      <x:c r="B2" s="27" t="n">
        <x:v>1</x:v>
      </x:c>
      <x:c r="C2" s="27" t="str">
        <x:v>Gelo di arance siciliane</x:v>
      </x:c>
      <x:c r="D2" s="27" t="str">
        <x:v>Nuova 24</x:v>
      </x:c>
      <x:c r="E2" s="27" t="str">
        <x:v>Da creare</x:v>
      </x:c>
      <x:c r="F2" s="27" t="str">
        <x:v>Arance, amido, zucchero, cannella</x:v>
      </x:c>
      <x:c r="G2" s="27" t="str">
        <x:v>Alta</x:v>
      </x:c>
      <x:c r="H2" s="27" t="str">
        <x:v>Articolo + Immagine + Card + Prompt reel</x:v>
      </x:c>
      <x:c r="I2" s="27" t="str">
        <x:v>Nuova ricetta stagionale principale</x:v>
      </x:c>
    </x:row>
    <x:row r="3">
      <x:c r="A3" s="27" t="str">
        <x:v>Gennaio</x:v>
      </x:c>
      <x:c r="B3" s="27" t="n">
        <x:v>2</x:v>
      </x:c>
      <x:c r="C3" s="27" t="str">
        <x:v>Insalata di finocchi, arance e olive</x:v>
      </x:c>
      <x:c r="D3" s="27" t="str">
        <x:v>Nuova 24</x:v>
      </x:c>
      <x:c r="E3" s="27" t="str">
        <x:v>Da creare</x:v>
      </x:c>
      <x:c r="F3" s="27" t="str">
        <x:v>Finocchi, arance, olive, olio EVO</x:v>
      </x:c>
      <x:c r="G3" s="27" t="str">
        <x:v>Alta</x:v>
      </x:c>
      <x:c r="H3" s="27" t="str">
        <x:v>Articolo + Immagine + Card + Prompt reel</x:v>
      </x:c>
      <x:c r="I3" s="27" t="str">
        <x:v>Nuova ricetta stagionale principale</x:v>
      </x:c>
    </x:row>
    <x:row r="4">
      <x:c r="A4" s="27" t="str">
        <x:v>Gennaio</x:v>
      </x:c>
      <x:c r="B4" s="27" t="n">
        <x:v>3</x:v>
      </x:c>
      <x:c r="C4" s="27" t="str">
        <x:v>Biancomangiare</x:v>
      </x:c>
      <x:c r="D4" s="27" t="str">
        <x:v>Alternativa</x:v>
      </x:c>
      <x:c r="E4" s="27" t="str">
        <x:v>Riserva</x:v>
      </x:c>
      <x:c r="F4" s="27" t="str">
        <x:v>Latte, amido, zucchero, cannella, limone</x:v>
      </x:c>
      <x:c r="G4" s="27" t="str">
        <x:v>Media</x:v>
      </x:c>
      <x:c r="H4" s="27" t="str">
        <x:v>Da attivare solo se scelta</x:v>
      </x:c>
      <x:c r="I4" s="27" t="str">
        <x:v>Ricetta alternativa coerente con il mese</x:v>
      </x:c>
    </x:row>
    <x:row r="5">
      <x:c r="A5" s="27" t="str">
        <x:v>Gennaio</x:v>
      </x:c>
      <x:c r="B5" s="27" t="n">
        <x:v>4</x:v>
      </x:c>
      <x:c r="C5" s="27" t="str">
        <x:v>Insalata di arance e aringa</x:v>
      </x:c>
      <x:c r="D5" s="27" t="str">
        <x:v>Alternativa</x:v>
      </x:c>
      <x:c r="E5" s="27" t="str">
        <x:v>Riserva</x:v>
      </x:c>
      <x:c r="F5" s="27" t="str">
        <x:v>Arance, aringa, cipolla, olive, olio EVO</x:v>
      </x:c>
      <x:c r="G5" s="27" t="str">
        <x:v>Media</x:v>
      </x:c>
      <x:c r="H5" s="27" t="str">
        <x:v>Da attivare solo se scelta</x:v>
      </x:c>
      <x:c r="I5" s="27" t="str">
        <x:v>Ricetta alternativa coerente con il mese</x:v>
      </x:c>
    </x:row>
    <x:row r="6">
      <x:c r="A6" s="27" t="str">
        <x:v>Febbraio</x:v>
      </x:c>
      <x:c r="B6" s="27" t="n">
        <x:v>1</x:v>
      </x:c>
      <x:c r="C6" s="27" t="str">
        <x:v>Pasta con broccoli arriminati</x:v>
      </x:c>
      <x:c r="D6" s="27" t="str">
        <x:v>Nuova 24</x:v>
      </x:c>
      <x:c r="E6" s="27" t="str">
        <x:v>Da creare</x:v>
      </x:c>
      <x:c r="F6" s="27" t="str">
        <x:v>Pasta, broccoli, uvetta, pinoli, pangrattato, acciughe</x:v>
      </x:c>
      <x:c r="G6" s="27" t="str">
        <x:v>Alta</x:v>
      </x:c>
      <x:c r="H6" s="27" t="str">
        <x:v>Articolo + Immagine + Card + Prompt reel</x:v>
      </x:c>
      <x:c r="I6" s="27" t="str">
        <x:v>Nuova ricetta stagionale principale</x:v>
      </x:c>
    </x:row>
    <x:row r="7">
      <x:c r="A7" s="27" t="str">
        <x:v>Febbraio</x:v>
      </x:c>
      <x:c r="B7" s="27" t="n">
        <x:v>2</x:v>
      </x:c>
      <x:c r="C7" s="27" t="str">
        <x:v>Sarde a beccafico</x:v>
      </x:c>
      <x:c r="D7" s="27" t="str">
        <x:v>Nuova 24</x:v>
      </x:c>
      <x:c r="E7" s="27" t="str">
        <x:v>Da creare</x:v>
      </x:c>
      <x:c r="F7" s="27" t="str">
        <x:v>Sarde, pangrattato, uvetta, pinoli, limone, prezzemolo</x:v>
      </x:c>
      <x:c r="G7" s="27" t="str">
        <x:v>Alta</x:v>
      </x:c>
      <x:c r="H7" s="27" t="str">
        <x:v>Articolo + Immagine + Card + Prompt reel</x:v>
      </x:c>
      <x:c r="I7" s="27" t="str">
        <x:v>Nuova ricetta stagionale principale</x:v>
      </x:c>
    </x:row>
    <x:row r="8">
      <x:c r="A8" s="27" t="str">
        <x:v>Febbraio</x:v>
      </x:c>
      <x:c r="B8" s="27" t="n">
        <x:v>3</x:v>
      </x:c>
      <x:c r="C8" s="27" t="str">
        <x:v>Panelle siciliane</x:v>
      </x:c>
      <x:c r="D8" s="27" t="str">
        <x:v>Alternativa</x:v>
      </x:c>
      <x:c r="E8" s="27" t="str">
        <x:v>Riserva</x:v>
      </x:c>
      <x:c r="F8" s="27" t="str">
        <x:v>Farina di ceci, olio, limone, pane</x:v>
      </x:c>
      <x:c r="G8" s="27" t="str">
        <x:v>Alta</x:v>
      </x:c>
      <x:c r="H8" s="27" t="str">
        <x:v>Da attivare solo se scelta</x:v>
      </x:c>
      <x:c r="I8" s="27" t="str">
        <x:v>Ricetta alternativa coerente con il mese</x:v>
      </x:c>
    </x:row>
    <x:row r="9">
      <x:c r="A9" s="27" t="str">
        <x:v>Febbraio</x:v>
      </x:c>
      <x:c r="B9" s="27" t="n">
        <x:v>4</x:v>
      </x:c>
      <x:c r="C9" s="27" t="str">
        <x:v>Cavolfiore affogato</x:v>
      </x:c>
      <x:c r="D9" s="27" t="str">
        <x:v>Alternativa</x:v>
      </x:c>
      <x:c r="E9" s="27" t="str">
        <x:v>Riserva</x:v>
      </x:c>
      <x:c r="F9" s="27" t="str">
        <x:v>Cavolfiore, cipolla, olive, acciughe, vino, formaggio</x:v>
      </x:c>
      <x:c r="G9" s="27" t="str">
        <x:v>Media</x:v>
      </x:c>
      <x:c r="H9" s="27" t="str">
        <x:v>Da attivare solo se scelta</x:v>
      </x:c>
      <x:c r="I9" s="27" t="str">
        <x:v>Ricetta alternativa coerente con il mese</x:v>
      </x:c>
    </x:row>
    <x:row r="10">
      <x:c r="A10" s="27" t="str">
        <x:v>Marzo</x:v>
      </x:c>
      <x:c r="B10" s="27" t="n">
        <x:v>1</x:v>
      </x:c>
      <x:c r="C10" s="27" t="str">
        <x:v>Pasta con le sarde e finocchietto</x:v>
      </x:c>
      <x:c r="D10" s="27" t="str">
        <x:v>Nuova 24</x:v>
      </x:c>
      <x:c r="E10" s="27" t="str">
        <x:v>Da creare</x:v>
      </x:c>
      <x:c r="F10" s="27" t="str">
        <x:v>Pasta, sarde, finocchietto, uvetta, pinoli, pangrattato</x:v>
      </x:c>
      <x:c r="G10" s="27" t="str">
        <x:v>Alta</x:v>
      </x:c>
      <x:c r="H10" s="27" t="str">
        <x:v>Articolo + Immagine + Card + Prompt reel</x:v>
      </x:c>
      <x:c r="I10" s="27" t="str">
        <x:v>Nuova ricetta stagionale principale</x:v>
      </x:c>
    </x:row>
    <x:row r="11">
      <x:c r="A11" s="27" t="str">
        <x:v>Marzo</x:v>
      </x:c>
      <x:c r="B11" s="27" t="n">
        <x:v>2</x:v>
      </x:c>
      <x:c r="C11" s="27" t="str">
        <x:v>Frittella siciliana con fave, piselli e carciofi</x:v>
      </x:c>
      <x:c r="D11" s="27" t="str">
        <x:v>Nuova 24</x:v>
      </x:c>
      <x:c r="E11" s="27" t="str">
        <x:v>Da creare</x:v>
      </x:c>
      <x:c r="F11" s="27" t="str">
        <x:v>Fave, piselli, carciofi, cipolla, olio EVO</x:v>
      </x:c>
      <x:c r="G11" s="27" t="str">
        <x:v>Alta</x:v>
      </x:c>
      <x:c r="H11" s="27" t="str">
        <x:v>Articolo + Immagine + Card + Prompt reel</x:v>
      </x:c>
      <x:c r="I11" s="27" t="str">
        <x:v>Nuova ricetta stagionale principale</x:v>
      </x:c>
    </x:row>
    <x:row r="12">
      <x:c r="A12" s="27" t="str">
        <x:v>Marzo</x:v>
      </x:c>
      <x:c r="B12" s="27" t="n">
        <x:v>3</x:v>
      </x:c>
      <x:c r="C12" s="27" t="str">
        <x:v>Crispelle di riso / zeppole di San Giuseppe</x:v>
      </x:c>
      <x:c r="D12" s="27" t="str">
        <x:v>Alternativa</x:v>
      </x:c>
      <x:c r="E12" s="27" t="str">
        <x:v>Riserva</x:v>
      </x:c>
      <x:c r="F12" s="27" t="str">
        <x:v>Riso, latte, farina, zucchero, miele, arancia</x:v>
      </x:c>
      <x:c r="G12" s="27" t="str">
        <x:v>Alta</x:v>
      </x:c>
      <x:c r="H12" s="27" t="str">
        <x:v>Da attivare solo se scelta</x:v>
      </x:c>
      <x:c r="I12" s="27" t="str">
        <x:v>Ricetta alternativa coerente con il mese</x:v>
      </x:c>
    </x:row>
    <x:row r="13">
      <x:c r="A13" s="27" t="str">
        <x:v>Marzo</x:v>
      </x:c>
      <x:c r="B13" s="27" t="n">
        <x:v>4</x:v>
      </x:c>
      <x:c r="C13" s="27" t="str">
        <x:v>Pasta con piselli freschi</x:v>
      </x:c>
      <x:c r="D13" s="27" t="str">
        <x:v>Alternativa</x:v>
      </x:c>
      <x:c r="E13" s="27" t="str">
        <x:v>Riserva</x:v>
      </x:c>
      <x:c r="F13" s="27" t="str">
        <x:v>Pasta, piselli freschi, cipolla, olio EVO, formaggio</x:v>
      </x:c>
      <x:c r="G13" s="27" t="str">
        <x:v>Media</x:v>
      </x:c>
      <x:c r="H13" s="27" t="str">
        <x:v>Da attivare solo se scelta</x:v>
      </x:c>
      <x:c r="I13" s="27" t="str">
        <x:v>Ricetta alternativa coerente con il mese</x:v>
      </x:c>
    </x:row>
    <x:row r="14">
      <x:c r="A14" s="27" t="str">
        <x:v>Aprile</x:v>
      </x:c>
      <x:c r="B14" s="27" t="n">
        <x:v>1</x:v>
      </x:c>
      <x:c r="C14" s="27" t="str">
        <x:v>Cassateddi di ricotta</x:v>
      </x:c>
      <x:c r="D14" s="27" t="str">
        <x:v>Nuova 24</x:v>
      </x:c>
      <x:c r="E14" s="27" t="str">
        <x:v>Da creare</x:v>
      </x:c>
      <x:c r="F14" s="27" t="str">
        <x:v>Ricotta, farina, zucchero, cannella, cioccolato</x:v>
      </x:c>
      <x:c r="G14" s="27" t="str">
        <x:v>Alta</x:v>
      </x:c>
      <x:c r="H14" s="27" t="str">
        <x:v>Articolo + Immagine + Card + Prompt reel</x:v>
      </x:c>
      <x:c r="I14" s="27" t="str">
        <x:v>Nuova ricetta stagionale principale</x:v>
      </x:c>
    </x:row>
    <x:row r="15">
      <x:c r="A15" s="27" t="str">
        <x:v>Aprile</x:v>
      </x:c>
      <x:c r="B15" s="27" t="n">
        <x:v>2</x:v>
      </x:c>
      <x:c r="C15" s="27" t="str">
        <x:v>Fave fresche con pecorino</x:v>
      </x:c>
      <x:c r="D15" s="27" t="str">
        <x:v>Nuova 24</x:v>
      </x:c>
      <x:c r="E15" s="27" t="str">
        <x:v>Da creare</x:v>
      </x:c>
      <x:c r="F15" s="27" t="str">
        <x:v>Fave fresche, pecorino, pane, olio EVO</x:v>
      </x:c>
      <x:c r="G15" s="27" t="str">
        <x:v>Media</x:v>
      </x:c>
      <x:c r="H15" s="27" t="str">
        <x:v>Articolo + Immagine + Card + Prompt reel</x:v>
      </x:c>
      <x:c r="I15" s="27" t="str">
        <x:v>Nuova ricetta stagionale principale</x:v>
      </x:c>
    </x:row>
    <x:row r="16">
      <x:c r="A16" s="27" t="str">
        <x:v>Aprile</x:v>
      </x:c>
      <x:c r="B16" s="27" t="n">
        <x:v>3</x:v>
      </x:c>
      <x:c r="C16" s="27" t="str">
        <x:v>Agnello al forno con patate</x:v>
      </x:c>
      <x:c r="D16" s="27" t="str">
        <x:v>Alternativa</x:v>
      </x:c>
      <x:c r="E16" s="27" t="str">
        <x:v>Riserva</x:v>
      </x:c>
      <x:c r="F16" s="27" t="str">
        <x:v>Agnello, patate, rosmarino, aglio, olio EVO</x:v>
      </x:c>
      <x:c r="G16" s="27" t="str">
        <x:v>Media</x:v>
      </x:c>
      <x:c r="H16" s="27" t="str">
        <x:v>Da attivare solo se scelta</x:v>
      </x:c>
      <x:c r="I16" s="27" t="str">
        <x:v>Ricetta alternativa coerente con il mese</x:v>
      </x:c>
    </x:row>
    <x:row r="17">
      <x:c r="A17" s="27" t="str">
        <x:v>Aprile</x:v>
      </x:c>
      <x:c r="B17" s="27" t="n">
        <x:v>4</x:v>
      </x:c>
      <x:c r="C17" s="27" t="str">
        <x:v>Cuddura cu l’ova</x:v>
      </x:c>
      <x:c r="D17" s="27" t="str">
        <x:v>Alternativa</x:v>
      </x:c>
      <x:c r="E17" s="27" t="str">
        <x:v>Riserva</x:v>
      </x:c>
      <x:c r="F17" s="27" t="str">
        <x:v>Farina, uova, zucchero, strutto/burro, limone</x:v>
      </x:c>
      <x:c r="G17" s="27" t="str">
        <x:v>Alta</x:v>
      </x:c>
      <x:c r="H17" s="27" t="str">
        <x:v>Da attivare solo se scelta</x:v>
      </x:c>
      <x:c r="I17" s="27" t="str">
        <x:v>Ricetta alternativa coerente con il mese</x:v>
      </x:c>
    </x:row>
    <x:row r="18">
      <x:c r="A18" s="27" t="str">
        <x:v>Maggio</x:v>
      </x:c>
      <x:c r="B18" s="27" t="n">
        <x:v>1</x:v>
      </x:c>
      <x:c r="C18" s="27" t="str">
        <x:v>Pasta primavera con piselli, asparagi e zucchine</x:v>
      </x:c>
      <x:c r="D18" s="27" t="str">
        <x:v>Nuova 24</x:v>
      </x:c>
      <x:c r="E18" s="27" t="str">
        <x:v>Da creare</x:v>
      </x:c>
      <x:c r="F18" s="27" t="str">
        <x:v>Pasta, piselli, asparagi, zucchine, erbe aromatiche</x:v>
      </x:c>
      <x:c r="G18" s="27" t="str">
        <x:v>Media</x:v>
      </x:c>
      <x:c r="H18" s="27" t="str">
        <x:v>Articolo + Immagine + Card + Prompt reel</x:v>
      </x:c>
      <x:c r="I18" s="27" t="str">
        <x:v>Nuova ricetta stagionale principale</x:v>
      </x:c>
    </x:row>
    <x:row r="19">
      <x:c r="A19" s="27" t="str">
        <x:v>Maggio</x:v>
      </x:c>
      <x:c r="B19" s="27" t="n">
        <x:v>2</x:v>
      </x:c>
      <x:c r="C19" s="27" t="str">
        <x:v>Caponata primaverile con carciofi</x:v>
      </x:c>
      <x:c r="D19" s="27" t="str">
        <x:v>Nuova 24</x:v>
      </x:c>
      <x:c r="E19" s="27" t="str">
        <x:v>Da creare</x:v>
      </x:c>
      <x:c r="F19" s="27" t="str">
        <x:v>Carciofi, sedano, cipolla, olive, capperi, aceto</x:v>
      </x:c>
      <x:c r="G19" s="27" t="str">
        <x:v>Media</x:v>
      </x:c>
      <x:c r="H19" s="27" t="str">
        <x:v>Articolo + Immagine + Card + Prompt reel</x:v>
      </x:c>
      <x:c r="I19" s="27" t="str">
        <x:v>Nuova ricetta stagionale principale</x:v>
      </x:c>
    </x:row>
    <x:row r="20">
      <x:c r="A20" s="27" t="str">
        <x:v>Maggio</x:v>
      </x:c>
      <x:c r="B20" s="27" t="n">
        <x:v>3</x:v>
      </x:c>
      <x:c r="C20" s="27" t="str">
        <x:v>Pesto di pistacchio</x:v>
      </x:c>
      <x:c r="D20" s="27" t="str">
        <x:v>Alternativa</x:v>
      </x:c>
      <x:c r="E20" s="27" t="str">
        <x:v>Riserva</x:v>
      </x:c>
      <x:c r="F20" s="27" t="str">
        <x:v>Pistacchi, pasta, olio EVO, formaggio</x:v>
      </x:c>
      <x:c r="G20" s="27" t="str">
        <x:v>Alta</x:v>
      </x:c>
      <x:c r="H20" s="27" t="str">
        <x:v>Da attivare solo se scelta</x:v>
      </x:c>
      <x:c r="I20" s="27" t="str">
        <x:v>Ricetta alternativa coerente con il mese</x:v>
      </x:c>
    </x:row>
    <x:row r="21">
      <x:c r="A21" s="27" t="str">
        <x:v>Maggio</x:v>
      </x:c>
      <x:c r="B21" s="27" t="n">
        <x:v>4</x:v>
      </x:c>
      <x:c r="C21" s="27" t="str">
        <x:v>Parmigiana bianca di zucchine</x:v>
      </x:c>
      <x:c r="D21" s="27" t="str">
        <x:v>Alternativa</x:v>
      </x:c>
      <x:c r="E21" s="27" t="str">
        <x:v>Riserva</x:v>
      </x:c>
      <x:c r="F21" s="27" t="str">
        <x:v>Zucchine, formaggi, pangrattato, olio EVO, basilico</x:v>
      </x:c>
      <x:c r="G21" s="27" t="str">
        <x:v>Media</x:v>
      </x:c>
      <x:c r="H21" s="27" t="str">
        <x:v>Da attivare solo se scelta</x:v>
      </x:c>
      <x:c r="I21" s="27" t="str">
        <x:v>Ricetta alternativa coerente con il mese</x:v>
      </x:c>
    </x:row>
    <x:row r="22">
      <x:c r="A22" s="27" t="str">
        <x:v>Giugno</x:v>
      </x:c>
      <x:c r="B22" s="27" t="n">
        <x:v>1</x:v>
      </x:c>
      <x:c r="C22" s="27" t="str">
        <x:v>Pasta alla Norma</x:v>
      </x:c>
      <x:c r="D22" s="27" t="str">
        <x:v>Nuova 24</x:v>
      </x:c>
      <x:c r="E22" s="27" t="str">
        <x:v>Da creare</x:v>
      </x:c>
      <x:c r="F22" s="27" t="str">
        <x:v>Pasta, melanzane, pomodoro, ricotta salata, basilico</x:v>
      </x:c>
      <x:c r="G22" s="27" t="str">
        <x:v>Alta</x:v>
      </x:c>
      <x:c r="H22" s="27" t="str">
        <x:v>Articolo + Immagine + Card + Prompt reel</x:v>
      </x:c>
      <x:c r="I22" s="27" t="str">
        <x:v>Nuova ricetta stagionale principale</x:v>
      </x:c>
    </x:row>
    <x:row r="23">
      <x:c r="A23" s="27" t="str">
        <x:v>Giugno</x:v>
      </x:c>
      <x:c r="B23" s="27" t="n">
        <x:v>2</x:v>
      </x:c>
      <x:c r="C23" s="27" t="str">
        <x:v>Peperoni in agrodolce</x:v>
      </x:c>
      <x:c r="D23" s="27" t="str">
        <x:v>Nuova 24</x:v>
      </x:c>
      <x:c r="E23" s="27" t="str">
        <x:v>Da creare</x:v>
      </x:c>
      <x:c r="F23" s="27" t="str">
        <x:v>Peperoni, aceto, zucchero, cipolla, olio EVO</x:v>
      </x:c>
      <x:c r="G23" s="27" t="str">
        <x:v>Media</x:v>
      </x:c>
      <x:c r="H23" s="27" t="str">
        <x:v>Articolo + Immagine + Card + Prompt reel</x:v>
      </x:c>
      <x:c r="I23" s="27" t="str">
        <x:v>Nuova ricetta stagionale principale</x:v>
      </x:c>
    </x:row>
    <x:row r="24">
      <x:c r="A24" s="27" t="str">
        <x:v>Giugno</x:v>
      </x:c>
      <x:c r="B24" s="27" t="n">
        <x:v>3</x:v>
      </x:c>
      <x:c r="C24" s="27" t="str">
        <x:v>Granita al limone</x:v>
      </x:c>
      <x:c r="D24" s="27" t="str">
        <x:v>Alternativa</x:v>
      </x:c>
      <x:c r="E24" s="27" t="str">
        <x:v>Riserva</x:v>
      </x:c>
      <x:c r="F24" s="27" t="str">
        <x:v>Limoni, zucchero, acqua</x:v>
      </x:c>
      <x:c r="G24" s="27" t="str">
        <x:v>Alta</x:v>
      </x:c>
      <x:c r="H24" s="27" t="str">
        <x:v>Da attivare solo se scelta</x:v>
      </x:c>
      <x:c r="I24" s="27" t="str">
        <x:v>Ricetta alternativa coerente con il mese</x:v>
      </x:c>
    </x:row>
    <x:row r="25">
      <x:c r="A25" s="27" t="str">
        <x:v>Giugno</x:v>
      </x:c>
      <x:c r="B25" s="27" t="n">
        <x:v>4</x:v>
      </x:c>
      <x:c r="C25" s="27" t="str">
        <x:v>Parmigiana di melanzane</x:v>
      </x:c>
      <x:c r="D25" s="27" t="str">
        <x:v>Alternativa</x:v>
      </x:c>
      <x:c r="E25" s="27" t="str">
        <x:v>Riserva</x:v>
      </x:c>
      <x:c r="F25" s="27" t="str">
        <x:v>Melanzane, pomodoro, formaggio, basilico, olio</x:v>
      </x:c>
      <x:c r="G25" s="27" t="str">
        <x:v>Alta</x:v>
      </x:c>
      <x:c r="H25" s="27" t="str">
        <x:v>Da attivare solo se scelta</x:v>
      </x:c>
      <x:c r="I25" s="27" t="str">
        <x:v>Ricetta alternativa coerente con il mese</x:v>
      </x:c>
    </x:row>
    <x:row r="26">
      <x:c r="A26" s="27" t="str">
        <x:v>Luglio</x:v>
      </x:c>
      <x:c r="B26" s="27" t="n">
        <x:v>1</x:v>
      </x:c>
      <x:c r="C26" s="27" t="str">
        <x:v>Caponata siciliana classica</x:v>
      </x:c>
      <x:c r="D26" s="27" t="str">
        <x:v>Nuova 24</x:v>
      </x:c>
      <x:c r="E26" s="27" t="str">
        <x:v>Da creare</x:v>
      </x:c>
      <x:c r="F26" s="27" t="str">
        <x:v>Melanzane, pomodoro, sedano, olive, capperi, cipolla</x:v>
      </x:c>
      <x:c r="G26" s="27" t="str">
        <x:v>Alta</x:v>
      </x:c>
      <x:c r="H26" s="27" t="str">
        <x:v>Articolo + Immagine + Card + Prompt reel</x:v>
      </x:c>
      <x:c r="I26" s="27" t="str">
        <x:v>Nuova ricetta stagionale principale</x:v>
      </x:c>
    </x:row>
    <x:row r="27">
      <x:c r="A27" s="27" t="str">
        <x:v>Luglio</x:v>
      </x:c>
      <x:c r="B27" s="27" t="n">
        <x:v>2</x:v>
      </x:c>
      <x:c r="C27" s="27" t="str">
        <x:v>Insalata siciliana di pomodoro, cipolla e origano</x:v>
      </x:c>
      <x:c r="D27" s="27" t="str">
        <x:v>Nuova 24</x:v>
      </x:c>
      <x:c r="E27" s="27" t="str">
        <x:v>Da creare</x:v>
      </x:c>
      <x:c r="F27" s="27" t="str">
        <x:v>Pomodori, cipolla rossa, origano, pane, olio EVO</x:v>
      </x:c>
      <x:c r="G27" s="27" t="str">
        <x:v>Media</x:v>
      </x:c>
      <x:c r="H27" s="27" t="str">
        <x:v>Articolo + Immagine + Card + Prompt reel</x:v>
      </x:c>
      <x:c r="I27" s="27" t="str">
        <x:v>Nuova ricetta stagionale principale</x:v>
      </x:c>
    </x:row>
    <x:row r="28">
      <x:c r="A28" s="27" t="str">
        <x:v>Luglio</x:v>
      </x:c>
      <x:c r="B28" s="27" t="n">
        <x:v>3</x:v>
      </x:c>
      <x:c r="C28" s="27" t="str">
        <x:v>Pesce spada alla ghiotta</x:v>
      </x:c>
      <x:c r="D28" s="27" t="str">
        <x:v>Alternativa</x:v>
      </x:c>
      <x:c r="E28" s="27" t="str">
        <x:v>Riserva</x:v>
      </x:c>
      <x:c r="F28" s="27" t="str">
        <x:v>Pesce spada, pomodoro, olive, capperi, cipolla</x:v>
      </x:c>
      <x:c r="G28" s="27" t="str">
        <x:v>Alta</x:v>
      </x:c>
      <x:c r="H28" s="27" t="str">
        <x:v>Da attivare solo se scelta</x:v>
      </x:c>
      <x:c r="I28" s="27" t="str">
        <x:v>Ricetta alternativa coerente con il mese</x:v>
      </x:c>
    </x:row>
    <x:row r="29">
      <x:c r="A29" s="27" t="str">
        <x:v>Luglio</x:v>
      </x:c>
      <x:c r="B29" s="27" t="n">
        <x:v>4</x:v>
      </x:c>
      <x:c r="C29" s="27" t="str">
        <x:v>Cous cous di pesce</x:v>
      </x:c>
      <x:c r="D29" s="27" t="str">
        <x:v>Alternativa</x:v>
      </x:c>
      <x:c r="E29" s="27" t="str">
        <x:v>Riserva</x:v>
      </x:c>
      <x:c r="F29" s="27" t="str">
        <x:v>Cous cous, pesce, pomodoro, spezie, brodo</x:v>
      </x:c>
      <x:c r="G29" s="27" t="str">
        <x:v>Alta</x:v>
      </x:c>
      <x:c r="H29" s="27" t="str">
        <x:v>Da attivare solo se scelta</x:v>
      </x:c>
      <x:c r="I29" s="27" t="str">
        <x:v>Ricetta alternativa coerente con il mese</x:v>
      </x:c>
    </x:row>
    <x:row r="30">
      <x:c r="A30" s="27" t="str">
        <x:v>Agosto</x:v>
      </x:c>
      <x:c r="B30" s="27" t="n">
        <x:v>1</x:v>
      </x:c>
      <x:c r="C30" s="27" t="str">
        <x:v>Pasta con tenerumi</x:v>
      </x:c>
      <x:c r="D30" s="27" t="str">
        <x:v>Nuova 24</x:v>
      </x:c>
      <x:c r="E30" s="27" t="str">
        <x:v>Da creare</x:v>
      </x:c>
      <x:c r="F30" s="27" t="str">
        <x:v>Tenerumi, zucchina lunga, pomodoro, pasta</x:v>
      </x:c>
      <x:c r="G30" s="27" t="str">
        <x:v>Alta</x:v>
      </x:c>
      <x:c r="H30" s="27" t="str">
        <x:v>Articolo + Immagine + Card + Prompt reel</x:v>
      </x:c>
      <x:c r="I30" s="27" t="str">
        <x:v>Nuova ricetta stagionale principale</x:v>
      </x:c>
    </x:row>
    <x:row r="31">
      <x:c r="A31" s="27" t="str">
        <x:v>Agosto</x:v>
      </x:c>
      <x:c r="B31" s="27" t="n">
        <x:v>2</x:v>
      </x:c>
      <x:c r="C31" s="27" t="str">
        <x:v>Gelo di anguria / gelo di mellone</x:v>
      </x:c>
      <x:c r="D31" s="27" t="str">
        <x:v>Nuova 24</x:v>
      </x:c>
      <x:c r="E31" s="27" t="str">
        <x:v>Da creare</x:v>
      </x:c>
      <x:c r="F31" s="27" t="str">
        <x:v>Anguria, amido, zucchero, cannella, cioccolato</x:v>
      </x:c>
      <x:c r="G31" s="27" t="str">
        <x:v>Alta</x:v>
      </x:c>
      <x:c r="H31" s="27" t="str">
        <x:v>Articolo + Immagine + Card + Prompt reel</x:v>
      </x:c>
      <x:c r="I31" s="27" t="str">
        <x:v>Nuova ricetta stagionale principale</x:v>
      </x:c>
    </x:row>
    <x:row r="32">
      <x:c r="A32" s="27" t="str">
        <x:v>Agosto</x:v>
      </x:c>
      <x:c r="B32" s="27" t="n">
        <x:v>3</x:v>
      </x:c>
      <x:c r="C32" s="27" t="str">
        <x:v>Granita di mandorla</x:v>
      </x:c>
      <x:c r="D32" s="27" t="str">
        <x:v>Alternativa</x:v>
      </x:c>
      <x:c r="E32" s="27" t="str">
        <x:v>Riserva</x:v>
      </x:c>
      <x:c r="F32" s="27" t="str">
        <x:v>Mandorle, zucchero, acqua</x:v>
      </x:c>
      <x:c r="G32" s="27" t="str">
        <x:v>Alta</x:v>
      </x:c>
      <x:c r="H32" s="27" t="str">
        <x:v>Da attivare solo se scelta</x:v>
      </x:c>
      <x:c r="I32" s="27" t="str">
        <x:v>Ricetta alternativa coerente con il mese</x:v>
      </x:c>
    </x:row>
    <x:row r="33">
      <x:c r="A33" s="27" t="str">
        <x:v>Agosto</x:v>
      </x:c>
      <x:c r="B33" s="27" t="n">
        <x:v>4</x:v>
      </x:c>
      <x:c r="C33" s="27" t="str">
        <x:v>Anelletti al forno estivi</x:v>
      </x:c>
      <x:c r="D33" s="27" t="str">
        <x:v>Alternativa</x:v>
      </x:c>
      <x:c r="E33" s="27" t="str">
        <x:v>Riserva</x:v>
      </x:c>
      <x:c r="F33" s="27" t="str">
        <x:v>Anelletti, pomodoro, melanzane, formaggi</x:v>
      </x:c>
      <x:c r="G33" s="27" t="str">
        <x:v>Media</x:v>
      </x:c>
      <x:c r="H33" s="27" t="str">
        <x:v>Da attivare solo se scelta</x:v>
      </x:c>
      <x:c r="I33" s="27" t="str">
        <x:v>Ricetta alternativa coerente con il mese</x:v>
      </x:c>
    </x:row>
    <x:row r="34">
      <x:c r="A34" s="27" t="str">
        <x:v>Settembre</x:v>
      </x:c>
      <x:c r="B34" s="27" t="n">
        <x:v>1</x:v>
      </x:c>
      <x:c r="C34" s="27" t="str">
        <x:v>Schiacciata con fichi e formaggio</x:v>
      </x:c>
      <x:c r="D34" s="27" t="str">
        <x:v>Nuova 24</x:v>
      </x:c>
      <x:c r="E34" s="27" t="str">
        <x:v>Da creare</x:v>
      </x:c>
      <x:c r="F34" s="27" t="str">
        <x:v>Fichi, farina, formaggio, miele</x:v>
      </x:c>
      <x:c r="G34" s="27" t="str">
        <x:v>Media</x:v>
      </x:c>
      <x:c r="H34" s="27" t="str">
        <x:v>Articolo + Immagine + Card + Prompt reel</x:v>
      </x:c>
      <x:c r="I34" s="27" t="str">
        <x:v>Nuova ricetta stagionale principale</x:v>
      </x:c>
    </x:row>
    <x:row r="35">
      <x:c r="A35" s="27" t="str">
        <x:v>Settembre</x:v>
      </x:c>
      <x:c r="B35" s="27" t="n">
        <x:v>2</x:v>
      </x:c>
      <x:c r="C35" s="27" t="str">
        <x:v>Pesto alla trapanese</x:v>
      </x:c>
      <x:c r="D35" s="27" t="str">
        <x:v>Nuova 24</x:v>
      </x:c>
      <x:c r="E35" s="27" t="str">
        <x:v>Da creare</x:v>
      </x:c>
      <x:c r="F35" s="27" t="str">
        <x:v>Pomodoro, mandorle, basilico, aglio, olio EVO, pasta</x:v>
      </x:c>
      <x:c r="G35" s="27" t="str">
        <x:v>Alta</x:v>
      </x:c>
      <x:c r="H35" s="27" t="str">
        <x:v>Articolo + Immagine + Card + Prompt reel</x:v>
      </x:c>
      <x:c r="I35" s="27" t="str">
        <x:v>Nuova ricetta stagionale principale</x:v>
      </x:c>
    </x:row>
    <x:row r="36">
      <x:c r="A36" s="27" t="str">
        <x:v>Ottobre</x:v>
      </x:c>
      <x:c r="B36" s="27" t="n">
        <x:v>1</x:v>
      </x:c>
      <x:c r="C36" s="27" t="str">
        <x:v>Pasta con zucca rossa alla siciliana</x:v>
      </x:c>
      <x:c r="D36" s="27" t="str">
        <x:v>Nuova 24</x:v>
      </x:c>
      <x:c r="E36" s="27" t="str">
        <x:v>Da creare</x:v>
      </x:c>
      <x:c r="F36" s="27" t="str">
        <x:v>Zucca rossa, pasta, cipolla, formaggio, pangrattato</x:v>
      </x:c>
      <x:c r="G36" s="27" t="str">
        <x:v>Alta</x:v>
      </x:c>
      <x:c r="H36" s="27" t="str">
        <x:v>Articolo + Immagine + Card + Prompt reel</x:v>
      </x:c>
      <x:c r="I36" s="27" t="str">
        <x:v>Nuova ricetta stagionale principale</x:v>
      </x:c>
    </x:row>
    <x:row r="37">
      <x:c r="A37" s="27" t="str">
        <x:v>Ottobre</x:v>
      </x:c>
      <x:c r="B37" s="27" t="n">
        <x:v>2</x:v>
      </x:c>
      <x:c r="C37" s="27" t="str">
        <x:v>Dolce semplice con fichi d’India</x:v>
      </x:c>
      <x:c r="D37" s="27" t="str">
        <x:v>Nuova 24</x:v>
      </x:c>
      <x:c r="E37" s="27" t="str">
        <x:v>Da creare</x:v>
      </x:c>
      <x:c r="F37" s="27" t="str">
        <x:v>Fichi d’India, zucchero, limone, amido</x:v>
      </x:c>
      <x:c r="G37" s="27" t="str">
        <x:v>Media</x:v>
      </x:c>
      <x:c r="H37" s="27" t="str">
        <x:v>Articolo + Immagine + Card + Prompt reel</x:v>
      </x:c>
      <x:c r="I37" s="27" t="str">
        <x:v>Nuova ricetta stagionale principale</x:v>
      </x:c>
    </x:row>
    <x:row r="38">
      <x:c r="A38" s="27" t="str">
        <x:v>Ottobre</x:v>
      </x:c>
      <x:c r="B38" s="27" t="n">
        <x:v>3</x:v>
      </x:c>
      <x:c r="C38" s="27" t="str">
        <x:v>Zuppa di lenticchie alla siciliana</x:v>
      </x:c>
      <x:c r="D38" s="27" t="str">
        <x:v>Alternativa</x:v>
      </x:c>
      <x:c r="E38" s="27" t="str">
        <x:v>Riserva</x:v>
      </x:c>
      <x:c r="F38" s="27" t="str">
        <x:v>Lenticchie, verdure, olio EVO, rosmarino</x:v>
      </x:c>
      <x:c r="G38" s="27" t="str">
        <x:v>Media</x:v>
      </x:c>
      <x:c r="H38" s="27" t="str">
        <x:v>Da attivare solo se scelta</x:v>
      </x:c>
      <x:c r="I38" s="27" t="str">
        <x:v>Ricetta alternativa coerente con il mese</x:v>
      </x:c>
    </x:row>
    <x:row r="39">
      <x:c r="A39" s="27" t="str">
        <x:v>Novembre</x:v>
      </x:c>
      <x:c r="B39" s="27" t="n">
        <x:v>1</x:v>
      </x:c>
      <x:c r="C39" s="27" t="str">
        <x:v>Muffuletta con olio nuovo</x:v>
      </x:c>
      <x:c r="D39" s="27" t="str">
        <x:v>Nuova 24</x:v>
      </x:c>
      <x:c r="E39" s="27" t="str">
        <x:v>Da creare</x:v>
      </x:c>
      <x:c r="F39" s="27" t="str">
        <x:v>Pane, olio nuovo, acciughe, formaggio, olive</x:v>
      </x:c>
      <x:c r="G39" s="27" t="str">
        <x:v>Alta</x:v>
      </x:c>
      <x:c r="H39" s="27" t="str">
        <x:v>Articolo + Immagine + Card + Prompt reel</x:v>
      </x:c>
      <x:c r="I39" s="27" t="str">
        <x:v>Nuova ricetta stagionale principale</x:v>
      </x:c>
    </x:row>
    <x:row r="40">
      <x:c r="A40" s="27" t="str">
        <x:v>Novembre</x:v>
      </x:c>
      <x:c r="B40" s="27" t="n">
        <x:v>2</x:v>
      </x:c>
      <x:c r="C40" s="27" t="str">
        <x:v>Zuppa di ceci e castagne</x:v>
      </x:c>
      <x:c r="D40" s="27" t="str">
        <x:v>Nuova 24</x:v>
      </x:c>
      <x:c r="E40" s="27" t="str">
        <x:v>Da creare</x:v>
      </x:c>
      <x:c r="F40" s="27" t="str">
        <x:v>Ceci, castagne, rosmarino, olio EVO</x:v>
      </x:c>
      <x:c r="G40" s="27" t="str">
        <x:v>Media</x:v>
      </x:c>
      <x:c r="H40" s="27" t="str">
        <x:v>Articolo + Immagine + Card + Prompt reel</x:v>
      </x:c>
      <x:c r="I40" s="27" t="str">
        <x:v>Nuova ricetta stagionale principale</x:v>
      </x:c>
    </x:row>
    <x:row r="41">
      <x:c r="A41" s="27" t="str">
        <x:v>Dicembre</x:v>
      </x:c>
      <x:c r="B41" s="27" t="n">
        <x:v>1</x:v>
      </x:c>
      <x:c r="C41" s="27" t="str">
        <x:v>Sfincione siciliano</x:v>
      </x:c>
      <x:c r="D41" s="27" t="str">
        <x:v>Nuova 24</x:v>
      </x:c>
      <x:c r="E41" s="27" t="str">
        <x:v>Da creare</x:v>
      </x:c>
      <x:c r="F41" s="27" t="str">
        <x:v>Farina, pomodoro, cipolle, acciughe, caciocavallo, pangrattato</x:v>
      </x:c>
      <x:c r="G41" s="27" t="str">
        <x:v>Alta</x:v>
      </x:c>
      <x:c r="H41" s="27" t="str">
        <x:v>Articolo + Immagine + Card + Prompt reel</x:v>
      </x:c>
      <x:c r="I41" s="27" t="str">
        <x:v>Nuova ricetta stagionale principale</x:v>
      </x:c>
    </x:row>
    <x:row r="42">
      <x:c r="A42" s="27" t="str">
        <x:v>Dicembre</x:v>
      </x:c>
      <x:c r="B42" s="27" t="n">
        <x:v>2</x:v>
      </x:c>
      <x:c r="C42" s="27" t="str">
        <x:v>Buccellati siciliani</x:v>
      </x:c>
      <x:c r="D42" s="27" t="str">
        <x:v>Nuova 24</x:v>
      </x:c>
      <x:c r="E42" s="27" t="str">
        <x:v>Da creare</x:v>
      </x:c>
      <x:c r="F42" s="27" t="str">
        <x:v>Farina, fichi secchi, mandorle, noci, miele, cannella, cioccolato</x:v>
      </x:c>
      <x:c r="G42" s="27" t="str">
        <x:v>Alta</x:v>
      </x:c>
      <x:c r="H42" s="27" t="str">
        <x:v>Articolo + Immagine + Card + Prompt reel</x:v>
      </x:c>
      <x:c r="I42" s="27" t="str">
        <x:v>Nuova ricetta stagionale principale</x:v>
      </x:c>
    </x:row>
    <x:row r="43">
      <x:c r="A43" s="27" t="str">
        <x:v>Dicembre</x:v>
      </x:c>
      <x:c r="B43" s="27" t="n">
        <x:v>3</x:v>
      </x:c>
      <x:c r="C43" s="27" t="str">
        <x:v>Torrone di mandorle</x:v>
      </x:c>
      <x:c r="D43" s="27" t="str">
        <x:v>Alternativa</x:v>
      </x:c>
      <x:c r="E43" s="27" t="str">
        <x:v>Riserva</x:v>
      </x:c>
      <x:c r="F43" s="27" t="str">
        <x:v>Mandorle, miele, zucchero, albumi</x:v>
      </x:c>
      <x:c r="G43" s="27" t="str">
        <x:v>Alta</x:v>
      </x:c>
      <x:c r="H43" s="27" t="str">
        <x:v>Da attivare solo se scelta</x:v>
      </x:c>
      <x:c r="I43" s="27" t="str">
        <x:v>Ricetta alternativa coerente con il mese</x:v>
      </x:c>
    </x:row>
  </x:sheetData>
  <x:conditionalFormatting sqref="E2:E43">
    <x:cfRule type="expression" dxfId="0" priority="1">
      <x:formula>$E2="Completata"</x:formula>
    </x:cfRule>
    <x:cfRule type="expression" dxfId="1" priority="2">
      <x:formula>$E2="Da creare"</x:formula>
    </x:cfRule>
    <x:cfRule type="expression" dxfId="2" priority="3">
      <x:formula>$E2="Riserva"</x:formula>
    </x:cfRule>
  </x:conditionalFormatting>
  <x:conditionalFormatting sqref="G2:G43">
    <x:cfRule type="expression" dxfId="3" priority="4">
      <x:formula>$G2="Alta"</x:formula>
    </x:cfRule>
  </x:conditionalFormatting>
  <x:dataValidations count="3">
    <x:dataValidation type="list" sqref="D2:D43">
      <x:formula1>"Nuova 24,Alternativa"</x:formula1>
    </x:dataValidation>
    <x:dataValidation type="list" sqref="E2:E43">
      <x:formula1>"Da creare,In lavorazione,Articolo fatto,Immagine fatta,Card fatta,Prompt fatto,Completata,Riserva,Scartata"</x:formula1>
    </x:dataValidation>
    <x:dataValidation type="list" sqref="G2:G43">
      <x:formula1>"Alta,Media,Bassa"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f461cf908e4c4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8" t="str">
        <x:v>Calendario Ricette - Dashboard</x:v>
      </x:c>
      <x:c r="B1" s="18" t="str"/>
      <x:c r="C1" s="24"/>
      <x:c r="D1" s="31" t="str">
        <x:v>Mese</x:v>
      </x:c>
      <x:c r="E1" s="31" t="str">
        <x:v>Nuove 24</x:v>
      </x:c>
      <x:c r="F1" s="31" t="str">
        <x:v>Alternative</x:v>
      </x:c>
      <x:c r="G1" s="31" t="str">
        <x:v>Totale mese</x:v>
      </x:c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20" t="str">
        <x:v>Totale ricette già create</x:v>
      </x:c>
      <x:c r="B2" s="19" t="n">
        <x:f>COUNTA(Ricette_Gia_Create!B2:B9)</x:f>
        <x:v>8</x:v>
      </x:c>
      <x:c r="C2" s="19"/>
      <x:c r="D2" s="19" t="str">
        <x:v>Gennaio</x:v>
      </x:c>
      <x:c r="E2" s="19" t="n">
        <x:f>COUNTIFS(Calendario_Mensile!$A:$A,$D2,Calendario_Mensile!$D:$D,"Nuova 24")</x:f>
        <x:v>2</x:v>
      </x:c>
      <x:c r="F2" s="19" t="n">
        <x:f>COUNTIFS(Calendario_Mensile!$A:$A,$D2,Calendario_Mensile!$D:$D,"Alternativa")</x:f>
        <x:v>2</x:v>
      </x:c>
      <x:c r="G2" s="19" t="n">
        <x:f>E2+F2</x:f>
        <x:v>4</x:v>
      </x:c>
    </x:row>
    <x:row r="3">
      <x:c r="A3" s="20" t="str">
        <x:v>Nuove ricette stagionali</x:v>
      </x:c>
      <x:c r="B3" s="19" t="n">
        <x:f>COUNTIF(Calendario_Mensile!D:D,"Nuova 24")</x:f>
        <x:v>24</x:v>
      </x:c>
      <x:c r="C3" s="19"/>
      <x:c r="D3" s="19" t="str">
        <x:v>Febbraio</x:v>
      </x:c>
      <x:c r="E3" s="19" t="n">
        <x:f>COUNTIFS(Calendario_Mensile!$A:$A,$D3,Calendario_Mensile!$D:$D,"Nuova 24")</x:f>
        <x:v>2</x:v>
      </x:c>
      <x:c r="F3" s="19" t="n">
        <x:f>COUNTIFS(Calendario_Mensile!$A:$A,$D3,Calendario_Mensile!$D:$D,"Alternativa")</x:f>
        <x:v>2</x:v>
      </x:c>
      <x:c r="G3" s="19" t="n">
        <x:f>E3+F3</x:f>
        <x:v>4</x:v>
      </x:c>
    </x:row>
    <x:row r="4">
      <x:c r="A4" s="20" t="str">
        <x:v>Ricette alternative</x:v>
      </x:c>
      <x:c r="B4" s="19" t="n">
        <x:f>COUNTIF(Calendario_Mensile!D:D,"Alternativa")</x:f>
        <x:v>18</x:v>
      </x:c>
      <x:c r="C4" s="19"/>
      <x:c r="D4" s="19" t="str">
        <x:v>Marzo</x:v>
      </x:c>
      <x:c r="E4" s="19" t="n">
        <x:f>COUNTIFS(Calendario_Mensile!$A:$A,$D4,Calendario_Mensile!$D:$D,"Nuova 24")</x:f>
        <x:v>2</x:v>
      </x:c>
      <x:c r="F4" s="19" t="n">
        <x:f>COUNTIFS(Calendario_Mensile!$A:$A,$D4,Calendario_Mensile!$D:$D,"Alternativa")</x:f>
        <x:v>2</x:v>
      </x:c>
      <x:c r="G4" s="19" t="n">
        <x:f>E4+F4</x:f>
        <x:v>4</x:v>
      </x:c>
    </x:row>
    <x:row r="5">
      <x:c r="A5" s="20" t="str">
        <x:v>Totale banca ricette</x:v>
      </x:c>
      <x:c r="B5" s="19" t="n">
        <x:f>B2+B3+B4</x:f>
        <x:v>50</x:v>
      </x:c>
      <x:c r="C5" s="19"/>
      <x:c r="D5" s="19" t="str">
        <x:v>Aprile</x:v>
      </x:c>
      <x:c r="E5" s="19" t="n">
        <x:f>COUNTIFS(Calendario_Mensile!$A:$A,$D5,Calendario_Mensile!$D:$D,"Nuova 24")</x:f>
        <x:v>2</x:v>
      </x:c>
      <x:c r="F5" s="19" t="n">
        <x:f>COUNTIFS(Calendario_Mensile!$A:$A,$D5,Calendario_Mensile!$D:$D,"Alternativa")</x:f>
        <x:v>2</x:v>
      </x:c>
      <x:c r="G5" s="19" t="n">
        <x:f>E5+F5</x:f>
        <x:v>4</x:v>
      </x:c>
    </x:row>
    <x:row r="6">
      <x:c r="A6" s="20" t="str">
        <x:v>Da creare</x:v>
      </x:c>
      <x:c r="B6" s="19" t="n">
        <x:f>COUNTIF(Calendario_Mensile!E:E,"Da creare")</x:f>
        <x:v>24</x:v>
      </x:c>
      <x:c r="C6" s="19"/>
      <x:c r="D6" s="19" t="str">
        <x:v>Maggio</x:v>
      </x:c>
      <x:c r="E6" s="19" t="n">
        <x:f>COUNTIFS(Calendario_Mensile!$A:$A,$D6,Calendario_Mensile!$D:$D,"Nuova 24")</x:f>
        <x:v>2</x:v>
      </x:c>
      <x:c r="F6" s="19" t="n">
        <x:f>COUNTIFS(Calendario_Mensile!$A:$A,$D6,Calendario_Mensile!$D:$D,"Alternativa")</x:f>
        <x:v>2</x:v>
      </x:c>
      <x:c r="G6" s="19" t="n">
        <x:f>E6+F6</x:f>
        <x:v>4</x:v>
      </x:c>
    </x:row>
    <x:row r="7">
      <x:c r="A7" s="20" t="str">
        <x:v>Riserve</x:v>
      </x:c>
      <x:c r="B7" s="19" t="n">
        <x:f>COUNTIF(Calendario_Mensile!E:E,"Riserva")</x:f>
        <x:v>18</x:v>
      </x:c>
      <x:c r="C7" s="19"/>
      <x:c r="D7" s="19" t="str">
        <x:v>Giugno</x:v>
      </x:c>
      <x:c r="E7" s="19" t="n">
        <x:f>COUNTIFS(Calendario_Mensile!$A:$A,$D7,Calendario_Mensile!$D:$D,"Nuova 24")</x:f>
        <x:v>2</x:v>
      </x:c>
      <x:c r="F7" s="19" t="n">
        <x:f>COUNTIFS(Calendario_Mensile!$A:$A,$D7,Calendario_Mensile!$D:$D,"Alternativa")</x:f>
        <x:v>2</x:v>
      </x:c>
      <x:c r="G7" s="19" t="n">
        <x:f>E7+F7</x:f>
        <x:v>4</x:v>
      </x:c>
    </x:row>
    <x:row r="8">
      <x:c r="A8" s="20" t="str">
        <x:v>Completate nuove</x:v>
      </x:c>
      <x:c r="B8" s="19" t="n">
        <x:f>COUNTIF(Calendario_Mensile!E:E,"Completata")</x:f>
        <x:v>0</x:v>
      </x:c>
      <x:c r="C8" s="19"/>
      <x:c r="D8" s="19" t="str">
        <x:v>Luglio</x:v>
      </x:c>
      <x:c r="E8" s="19" t="n">
        <x:f>COUNTIFS(Calendario_Mensile!$A:$A,$D8,Calendario_Mensile!$D:$D,"Nuova 24")</x:f>
        <x:v>2</x:v>
      </x:c>
      <x:c r="F8" s="19" t="n">
        <x:f>COUNTIFS(Calendario_Mensile!$A:$A,$D8,Calendario_Mensile!$D:$D,"Alternativa")</x:f>
        <x:v>2</x:v>
      </x:c>
      <x:c r="G8" s="19" t="n">
        <x:f>E8+F8</x:f>
        <x:v>4</x:v>
      </x:c>
    </x:row>
    <x:row r="9">
      <x:c r="A9" s="19"/>
      <x:c r="B9" s="19"/>
      <x:c r="C9" s="19"/>
      <x:c r="D9" s="19" t="str">
        <x:v>Agosto</x:v>
      </x:c>
      <x:c r="E9" s="19" t="n">
        <x:f>COUNTIFS(Calendario_Mensile!$A:$A,$D9,Calendario_Mensile!$D:$D,"Nuova 24")</x:f>
        <x:v>2</x:v>
      </x:c>
      <x:c r="F9" s="19" t="n">
        <x:f>COUNTIFS(Calendario_Mensile!$A:$A,$D9,Calendario_Mensile!$D:$D,"Alternativa")</x:f>
        <x:v>2</x:v>
      </x:c>
      <x:c r="G9" s="19" t="n">
        <x:f>E9+F9</x:f>
        <x:v>4</x:v>
      </x:c>
    </x:row>
    <x:row r="10">
      <x:c r="A10" s="19"/>
      <x:c r="B10" s="19"/>
      <x:c r="C10" s="19"/>
      <x:c r="D10" s="19" t="str">
        <x:v>Settembre</x:v>
      </x:c>
      <x:c r="E10" s="19" t="n">
        <x:f>COUNTIFS(Calendario_Mensile!$A:$A,$D10,Calendario_Mensile!$D:$D,"Nuova 24")</x:f>
        <x:v>2</x:v>
      </x:c>
      <x:c r="F10" s="19" t="n">
        <x:f>COUNTIFS(Calendario_Mensile!$A:$A,$D10,Calendario_Mensile!$D:$D,"Alternativa")</x:f>
        <x:v>0</x:v>
      </x:c>
      <x:c r="G10" s="19" t="n">
        <x:f>E10+F10</x:f>
        <x:v>2</x:v>
      </x:c>
    </x:row>
    <x:row r="11">
      <x:c r="A11" s="19"/>
      <x:c r="B11" s="19"/>
      <x:c r="C11" s="19"/>
      <x:c r="D11" s="19" t="str">
        <x:v>Ottobre</x:v>
      </x:c>
      <x:c r="E11" s="19" t="n">
        <x:f>COUNTIFS(Calendario_Mensile!$A:$A,$D11,Calendario_Mensile!$D:$D,"Nuova 24")</x:f>
        <x:v>2</x:v>
      </x:c>
      <x:c r="F11" s="19" t="n">
        <x:f>COUNTIFS(Calendario_Mensile!$A:$A,$D11,Calendario_Mensile!$D:$D,"Alternativa")</x:f>
        <x:v>1</x:v>
      </x:c>
      <x:c r="G11" s="19" t="n">
        <x:f>E11+F11</x:f>
        <x:v>3</x:v>
      </x:c>
    </x:row>
    <x:row r="12">
      <x:c r="A12" s="19"/>
      <x:c r="B12" s="19"/>
      <x:c r="C12" s="19"/>
      <x:c r="D12" s="19" t="str">
        <x:v>Novembre</x:v>
      </x:c>
      <x:c r="E12" s="19" t="n">
        <x:f>COUNTIFS(Calendario_Mensile!$A:$A,$D12,Calendario_Mensile!$D:$D,"Nuova 24")</x:f>
        <x:v>2</x:v>
      </x:c>
      <x:c r="F12" s="19" t="n">
        <x:f>COUNTIFS(Calendario_Mensile!$A:$A,$D12,Calendario_Mensile!$D:$D,"Alternativa")</x:f>
        <x:v>0</x:v>
      </x:c>
      <x:c r="G12" s="19" t="n">
        <x:f>E12+F12</x:f>
        <x:v>2</x:v>
      </x:c>
    </x:row>
    <x:row r="13">
      <x:c r="A13" s="19"/>
      <x:c r="B13" s="19"/>
      <x:c r="C13" s="19"/>
      <x:c r="D13" s="19" t="str">
        <x:v>Dicembre</x:v>
      </x:c>
      <x:c r="E13" s="19" t="n">
        <x:f>COUNTIFS(Calendario_Mensile!$A:$A,$D13,Calendario_Mensile!$D:$D,"Nuova 24")</x:f>
        <x:v>2</x:v>
      </x:c>
      <x:c r="F13" s="19" t="n">
        <x:f>COUNTIFS(Calendario_Mensile!$A:$A,$D13,Calendario_Mensile!$D:$D,"Alternativa")</x:f>
        <x:v>1</x:v>
      </x:c>
      <x:c r="G13" s="19" t="n">
        <x:f>E13+F13</x:f>
        <x:v>3</x:v>
      </x:c>
    </x:row>
  </x:sheetData>
  <x:pageMargins left="0.7" right="0.7" top="0.75" bottom="0.75" header="0.3" footer="0.3"/>
  <x:drawing xmlns:r="http://schemas.openxmlformats.org/officeDocument/2006/relationships" r:id="R68659bc8042c40be"/>
  <x:tableParts count="1">
    <x:tablePart xmlns:r="http://schemas.openxmlformats.org/officeDocument/2006/relationships" r:id="R8d74ea04c07a4be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6" hidden="0" customWidth="1"/>
    <x:col min="4" max="4" width="34" hidden="0" customWidth="1"/>
    <x:col min="5" max="5" width="46" hidden="0" customWidth="1"/>
  </x:cols>
  <x:sheetData>
    <x:row r="1">
      <x:c r="A1" s="24" t="str">
        <x:v>Comune</x:v>
      </x:c>
      <x:c r="B1" s="24" t="str">
        <x:v>Ricetta</x:v>
      </x:c>
      <x:c r="C1" s="24" t="str">
        <x:v>Stato</x:v>
      </x:c>
      <x:c r="D1" s="24" t="str">
        <x:v>Output completati</x:v>
      </x:c>
      <x:c r="E1" s="24" t="str">
        <x:v>Note</x:v>
      </x:c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t="str">
        <x:v>Agrigento</x:v>
      </x:c>
      <x:c r="B2" t="str">
        <x:v>Maccu di fave</x:v>
      </x:c>
      <x:c r="C2" t="str">
        <x:v>Già creata</x:v>
      </x:c>
      <x:c r="D2" t="str">
        <x:v>Articolo + Card + Guida + Prompt reel</x:v>
      </x:c>
      <x:c r="E2" t="str">
        <x:v>Presente nel sito: non ripetere nelle nuove 24</x:v>
      </x:c>
    </x:row>
    <x:row r="3">
      <x:c r="A3" t="str">
        <x:v>Canicattì</x:v>
      </x:c>
      <x:c r="B3" t="str">
        <x:v>Mostarda d’uva</x:v>
      </x:c>
      <x:c r="C3" t="str">
        <x:v>Già creata</x:v>
      </x:c>
      <x:c r="D3" t="str">
        <x:v>Articolo + Card + Guida + Prompt reel</x:v>
      </x:c>
      <x:c r="E3" t="str">
        <x:v>Presente nel sito: non ripetere nelle nuove 24</x:v>
      </x:c>
    </x:row>
    <x:row r="4">
      <x:c r="A4" t="str">
        <x:v>Castelvetrano</x:v>
      </x:c>
      <x:c r="B4" t="str">
        <x:v>Pane nero cunzato</x:v>
      </x:c>
      <x:c r="C4" t="str">
        <x:v>Già creata</x:v>
      </x:c>
      <x:c r="D4" t="str">
        <x:v>Articolo + Card + Guida + Prompt reel</x:v>
      </x:c>
      <x:c r="E4" t="str">
        <x:v>Presente nel sito: non ripetere nelle nuove 24</x:v>
      </x:c>
    </x:row>
    <x:row r="5">
      <x:c r="A5" t="str">
        <x:v>Gela</x:v>
      </x:c>
      <x:c r="B5" t="str">
        <x:v>Pasta co capuliatu</x:v>
      </x:c>
      <x:c r="C5" t="str">
        <x:v>Già creata</x:v>
      </x:c>
      <x:c r="D5" t="str">
        <x:v>Articolo + Card + Guida + Prompt reel</x:v>
      </x:c>
      <x:c r="E5" t="str">
        <x:v>Presente nel sito: non ripetere nelle nuove 24</x:v>
      </x:c>
    </x:row>
    <x:row r="6">
      <x:c r="A6" t="str">
        <x:v>Ispica</x:v>
      </x:c>
      <x:c r="B6" t="str">
        <x:v>Cubbaita / Giuggiulena</x:v>
      </x:c>
      <x:c r="C6" t="str">
        <x:v>Già creata</x:v>
      </x:c>
      <x:c r="D6" t="str">
        <x:v>Articolo + Card + Guida + Prompt reel</x:v>
      </x:c>
      <x:c r="E6" t="str">
        <x:v>Presente nel sito: non ripetere nelle nuove 24</x:v>
      </x:c>
    </x:row>
    <x:row r="7">
      <x:c r="A7" t="str">
        <x:v>Ragusa</x:v>
      </x:c>
      <x:c r="B7" t="str">
        <x:v>Scacce ragusane</x:v>
      </x:c>
      <x:c r="C7" t="str">
        <x:v>Già creata</x:v>
      </x:c>
      <x:c r="D7" t="str">
        <x:v>Articolo + Card + Guida + Prompt reel</x:v>
      </x:c>
      <x:c r="E7" t="str">
        <x:v>Presente nel sito: non ripetere nelle nuove 24</x:v>
      </x:c>
    </x:row>
    <x:row r="8">
      <x:c r="A8" t="str">
        <x:v>Rosolini</x:v>
      </x:c>
      <x:c r="B8" t="str">
        <x:v>Mustazzoli di Rosolini</x:v>
      </x:c>
      <x:c r="C8" t="str">
        <x:v>Già creata</x:v>
      </x:c>
      <x:c r="D8" t="str">
        <x:v>Articolo + Card + Guida + Prompt reel</x:v>
      </x:c>
      <x:c r="E8" t="str">
        <x:v>Presente nel sito: non ripetere nelle nuove 24</x:v>
      </x:c>
    </x:row>
    <x:row r="9">
      <x:c r="A9" t="str">
        <x:v>Vittoria</x:v>
      </x:c>
      <x:c r="B9" t="str">
        <x:v>Carciofi ripieni alla vittoriese</x:v>
      </x:c>
      <x:c r="C9" t="str">
        <x:v>Già creata</x:v>
      </x:c>
      <x:c r="D9" t="str">
        <x:v>Articolo + Card + Guida + Prompt reel</x:v>
      </x:c>
      <x:c r="E9" t="str">
        <x:v>Presente nel sito: non ripetere nelle nuove 24</x:v>
      </x:c>
    </x:row>
  </x:sheetData>
  <x:pageMargins left="0.7" right="0.7" top="0.75" bottom="0.75" header="0.3" footer="0.3"/>
  <x:tableParts count="1">
    <x:tablePart xmlns:r="http://schemas.openxmlformats.org/officeDocument/2006/relationships" r:id="R76536c692b5b487d"/>
  </x:tableParts>
</x:worksheet>
</file>